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LOOKUP-IF" state="visible" r:id="rId4"/>
    <sheet sheetId="2" name="Prices" state="visible" r:id="rId5"/>
    <sheet sheetId="3" name="Total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Tests: VLOOKUP nested inside IF with cross-sheet refs — common false negative</t>
        </r>
      </text>
    </comment>
  </commentList>
</comments>
</file>

<file path=xl/sharedStrings.xml><?xml version="1.0" encoding="utf-8"?>
<sst xmlns="http://schemas.openxmlformats.org/spreadsheetml/2006/main" count="23" uniqueCount="17">
  <si>
    <t>Product</t>
  </si>
  <si>
    <t>Code</t>
  </si>
  <si>
    <t>Price</t>
  </si>
  <si>
    <t>Lookup Result</t>
  </si>
  <si>
    <t>Widget A</t>
  </si>
  <si>
    <t>W001</t>
  </si>
  <si>
    <t>Widget B</t>
  </si>
  <si>
    <t>W002</t>
  </si>
  <si>
    <t>Widget C</t>
  </si>
  <si>
    <t>W003</t>
  </si>
  <si>
    <t>Widget D</t>
  </si>
  <si>
    <t>W004</t>
  </si>
  <si>
    <t>Q1</t>
  </si>
  <si>
    <t>Q2</t>
  </si>
  <si>
    <t>Q3</t>
  </si>
  <si>
    <t>Q4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</si>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</sst>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/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>
        <v>29.99</v>
      </c>
      <c r="D3">
        <f>IF(B2="W001",VLOOKUP(B2,Prices!A:B,2,FALSE),0)</f>
      </c>
    </row>
    <row r="4" spans="1:4" x14ac:dyDescent="0.25">
      <c r="A4" t="s">
        <v>6</v>
      </c>
      <c r="B4" t="s">
        <v>7</v>
      </c>
      <c r="C4">
        <v>49.99</v>
      </c>
      <c r="D4">
        <f>IF(B3="W002",VLOOKUP(B3,Prices!A:B,2,FALSE),0)</f>
      </c>
    </row>
    <row r="5" spans="1:4" x14ac:dyDescent="0.25">
      <c r="A5" t="s">
        <v>8</v>
      </c>
      <c r="B5" t="s">
        <v>9</v>
      </c>
      <c r="C5">
        <v>19.99</v>
      </c>
      <c r="D5">
        <f>IF(B4="W003",VLOOKUP(B4,Prices!A:B,2,FALSE),0)</f>
      </c>
    </row>
    <row r="6" spans="1:4" x14ac:dyDescent="0.25">
      <c r="A6" t="s">
        <v>10</v>
      </c>
      <c r="B6" t="s">
        <v>11</v>
      </c>
      <c r="C6">
        <v>39.99</v>
      </c>
      <c r="D6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  <row r="2" spans="1:2" x14ac:dyDescent="0.25">
      <c r="A2" t="s">
        <v>5</v>
      </c>
      <c r="B2">
        <v>29.99</v>
      </c>
    </row>
    <row r="3" spans="1:2" x14ac:dyDescent="0.25">
      <c r="A3" t="s">
        <v>7</v>
      </c>
      <c r="B3">
        <v>49.99</v>
      </c>
    </row>
    <row r="4" spans="1:2" x14ac:dyDescent="0.25">
      <c r="A4" t="s">
        <v>9</v>
      </c>
      <c r="B4">
        <v>19.99</v>
      </c>
    </row>
    <row r="5" spans="1:2" x14ac:dyDescent="0.25">
      <c r="A5" t="s">
        <v>11</v>
      </c>
      <c r="B5">
        <v>39.99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610</v>
      </c>
      <c r="B2">
        <v>50</v>
      </c>
      <c r="C2">
        <v>78</v>
      </c>
      <c r="D2">
        <v>228</v>
      </c>
      <c r="E2">
        <f>SUM(A2:D2)</f>
      </c>
    </row>
    <row r="3" spans="1:5" x14ac:dyDescent="0.25">
      <c r="A3">
        <v>650</v>
      </c>
      <c r="B3">
        <v>848</v>
      </c>
      <c r="C3">
        <v>729</v>
      </c>
      <c r="D3">
        <v>779</v>
      </c>
      <c r="E3">
        <f>SUM(A3:D3)</f>
      </c>
    </row>
    <row r="4" spans="1:5" x14ac:dyDescent="0.25">
      <c r="A4">
        <v>964</v>
      </c>
      <c r="B4">
        <v>123</v>
      </c>
      <c r="C4">
        <v>887</v>
      </c>
      <c r="D4">
        <v>300</v>
      </c>
      <c r="E4">
        <f>SUM(A4:C4)</f>
      </c>
    </row>
    <row r="5" spans="1:5" x14ac:dyDescent="0.25">
      <c r="A5">
        <v>117</v>
      </c>
      <c r="B5">
        <v>74</v>
      </c>
      <c r="C5">
        <v>68</v>
      </c>
      <c r="D5">
        <v>222</v>
      </c>
      <c r="E5">
        <f>SUM(A5:D5)</f>
      </c>
    </row>
    <row r="6" spans="1:5" x14ac:dyDescent="0.25">
      <c r="A6">
        <v>307</v>
      </c>
      <c r="B6">
        <v>650</v>
      </c>
      <c r="C6">
        <v>723</v>
      </c>
      <c r="D6">
        <v>340</v>
      </c>
      <c r="E6">
        <f>SUM(A6:D6)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VLOOKUP-IF</vt:lpstr>
      <vt:lpstr>Prices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2026-03-10T15:14:45Z</dcterms:created>
  <dcterms:modified xsi:type="dcterms:W3CDTF">2026-03-10T15:14:45Z</dcterms:modified>
</cp:coreProperties>
</file>